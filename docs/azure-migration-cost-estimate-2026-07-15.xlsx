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"/>
    <numFmt numFmtId="166" formatCode="#,##0.0"/>
    <numFmt numFmtId="167" formatCode="&quot;$&quot;#,##0.00"/>
    <numFmt numFmtId="168" formatCode="&quot;$&quot;#,##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2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9" fontId="0" fillId="2" borderId="0" pivotButton="0" quotePrefix="0" xfId="0"/>
    <xf numFmtId="0" fontId="4" fillId="3" borderId="0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0" fontId="5" fillId="4" borderId="0" pivotButton="0" quotePrefix="0" xfId="0"/>
    <xf numFmtId="0" fontId="0" fillId="4" borderId="0" pivotButton="0" quotePrefix="0" xfId="0"/>
    <xf numFmtId="168" fontId="5" fillId="4" borderId="0" pivotButton="0" quotePrefix="0" xfId="0"/>
    <xf numFmtId="168" fontId="0" fillId="0" borderId="1" pivotButton="0" quotePrefix="0" xfId="0"/>
    <xf numFmtId="0" fontId="6" fillId="4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SOC-Platform — Azure Migration Cost Estimate (new tenant)</t>
        </is>
      </c>
    </row>
    <row r="2">
      <c r="A2" s="2" t="inlineStr">
        <is>
          <t>Region: Southeast Asia | PAYG retail rates fetched 2026-07-15 from Azure Retail Prices API | Production only</t>
        </is>
      </c>
    </row>
    <row r="4">
      <c r="A4" s="3" t="inlineStr">
        <is>
          <t>INPUTS (edit the yellow cells)</t>
        </is>
      </c>
    </row>
    <row r="5">
      <c r="A5" t="inlineStr">
        <is>
          <t>Current customers</t>
        </is>
      </c>
      <c r="B5" s="4" t="n">
        <v>13</v>
      </c>
      <c r="G5" s="2" t="inlineStr">
        <is>
          <t>Today's Jira project count</t>
        </is>
      </c>
    </row>
    <row r="6">
      <c r="A6" t="inlineStr">
        <is>
          <t>Target customers</t>
        </is>
      </c>
      <c r="B6" s="4" t="n">
        <v>100</v>
      </c>
      <c r="G6" s="2" t="inlineStr">
        <is>
          <t>Sizing basis for the new tenant</t>
        </is>
      </c>
    </row>
    <row r="7">
      <c r="A7" t="inlineStr">
        <is>
          <t>Growth factor</t>
        </is>
      </c>
      <c r="B7" s="5">
        <f>B6/B5</f>
        <v/>
      </c>
      <c r="G7" s="2" t="inlineStr">
        <is>
          <t>Derived</t>
        </is>
      </c>
    </row>
    <row r="8">
      <c r="A8" t="inlineStr">
        <is>
          <t>Hours per month</t>
        </is>
      </c>
      <c r="B8" s="4" t="n">
        <v>730</v>
      </c>
      <c r="G8" s="2" t="inlineStr"/>
    </row>
    <row r="9">
      <c r="A9" t="inlineStr">
        <is>
          <t>Seconds per month</t>
        </is>
      </c>
      <c r="B9" s="6">
        <f>B8*3600</f>
        <v/>
      </c>
      <c r="G9" s="2" t="inlineStr">
        <is>
          <t>Derived</t>
        </is>
      </c>
    </row>
    <row r="10">
      <c r="A10" t="inlineStr">
        <is>
          <t>SOC-Platform active fraction</t>
        </is>
      </c>
      <c r="B10" s="7" t="n">
        <v>0.2</v>
      </c>
      <c r="G10" s="2" t="inlineStr">
        <is>
          <t>Share of time the app bills at ACTIVE vCPU rate</t>
        </is>
      </c>
    </row>
    <row r="12">
      <c r="A12" s="3" t="inlineStr">
        <is>
          <t>INFRASTRUCTURE (monthly)</t>
        </is>
      </c>
    </row>
    <row r="13">
      <c r="A13" s="8" t="inlineStr">
        <is>
          <t>Component</t>
        </is>
      </c>
      <c r="B13" s="8" t="inlineStr">
        <is>
          <t>Sizing</t>
        </is>
      </c>
      <c r="C13" s="8" t="inlineStr">
        <is>
          <t>Unit rate (USD)</t>
        </is>
      </c>
      <c r="D13" s="8" t="inlineStr">
        <is>
          <t>Unit</t>
        </is>
      </c>
      <c r="E13" s="8" t="inlineStr">
        <is>
          <t>Quantity</t>
        </is>
      </c>
      <c r="F13" s="8" t="inlineStr">
        <is>
          <t>Monthly (USD)</t>
        </is>
      </c>
      <c r="G13" s="8" t="inlineStr">
        <is>
          <t>Notes</t>
        </is>
      </c>
    </row>
    <row r="14">
      <c r="A14" s="9" t="inlineStr">
        <is>
          <t>Container Apps: SOC-Platform vCPU</t>
        </is>
      </c>
      <c r="B14" s="9" t="inlineStr">
        <is>
          <t>2 vCPU x 1 replica</t>
        </is>
      </c>
      <c r="C14" s="10" t="n">
        <v>3.4e-05</v>
      </c>
      <c r="D14" s="9" t="inlineStr">
        <is>
          <t>per vCPU-sec (active)</t>
        </is>
      </c>
      <c r="E14" s="11">
        <f>2*$B$9</f>
        <v/>
      </c>
      <c r="F14" s="12">
        <f>2*$B$9*($B$10*0.000034+(1-$B$10)*0.000004)</f>
        <v/>
      </c>
      <c r="G14" s="13" t="inlineStr">
        <is>
          <t>Blended active/idle; idle rate $0.000004</t>
        </is>
      </c>
    </row>
    <row r="15">
      <c r="A15" s="9" t="inlineStr">
        <is>
          <t>Container Apps: SOC-Platform memory</t>
        </is>
      </c>
      <c r="B15" s="9" t="inlineStr">
        <is>
          <t>4 GiB</t>
        </is>
      </c>
      <c r="C15" s="10" t="n">
        <v>4e-06</v>
      </c>
      <c r="D15" s="9" t="inlineStr">
        <is>
          <t>per GiB-sec</t>
        </is>
      </c>
      <c r="E15" s="11">
        <f>4*$B$9</f>
        <v/>
      </c>
      <c r="F15" s="12">
        <f>4*$B$9*0.000004</f>
        <v/>
      </c>
      <c r="G15" s="13" t="inlineStr"/>
    </row>
    <row r="16">
      <c r="A16" s="9" t="inlineStr">
        <is>
          <t>Container Apps: free grant</t>
        </is>
      </c>
      <c r="B16" s="9" t="inlineStr">
        <is>
          <t>per subscription</t>
        </is>
      </c>
      <c r="C16" s="9" t="n"/>
      <c r="D16" s="9" t="inlineStr"/>
      <c r="E16" s="9" t="n"/>
      <c r="F16" s="12" t="n">
        <v>-7</v>
      </c>
      <c r="G16" s="13" t="inlineStr">
        <is>
          <t>180K vCPU-s + 360K GiB-s free monthly</t>
        </is>
      </c>
    </row>
    <row r="17">
      <c r="A17" s="9" t="inlineStr">
        <is>
          <t>PostgreSQL Flexible B2ms</t>
        </is>
      </c>
      <c r="B17" s="9" t="inlineStr">
        <is>
          <t>2 vCPU / 8 GB</t>
        </is>
      </c>
      <c r="C17" s="10" t="n">
        <v>0.208</v>
      </c>
      <c r="D17" s="9" t="inlineStr">
        <is>
          <t>per hour</t>
        </is>
      </c>
      <c r="E17" s="11">
        <f>$B$8</f>
        <v/>
      </c>
      <c r="F17" s="12">
        <f>0.208*$B$8</f>
        <v/>
      </c>
      <c r="G17" s="13" t="inlineStr">
        <is>
          <t>Options: B2s $75.92; D2ds_v4 $178.12 (see Rates)</t>
        </is>
      </c>
    </row>
    <row r="18">
      <c r="A18" s="9" t="inlineStr">
        <is>
          <t>PostgreSQL storage</t>
        </is>
      </c>
      <c r="B18" s="9" t="inlineStr">
        <is>
          <t>64 GB</t>
        </is>
      </c>
      <c r="C18" s="10" t="n">
        <v>0.138</v>
      </c>
      <c r="D18" s="9" t="inlineStr">
        <is>
          <t>per GB/month</t>
        </is>
      </c>
      <c r="E18" s="11" t="n">
        <v>64</v>
      </c>
      <c r="F18" s="12">
        <f>64*0.138</f>
        <v/>
      </c>
      <c r="G18" s="13" t="inlineStr">
        <is>
          <t>Backup free up to provisioned size</t>
        </is>
      </c>
    </row>
    <row r="19">
      <c r="A19" s="9" t="inlineStr">
        <is>
          <t>Container Registry (Basic)</t>
        </is>
      </c>
      <c r="B19" s="9" t="inlineStr">
        <is>
          <t>10 GB incl.</t>
        </is>
      </c>
      <c r="C19" s="10" t="n">
        <v>0.1666</v>
      </c>
      <c r="D19" s="9" t="inlineStr">
        <is>
          <t>per day</t>
        </is>
      </c>
      <c r="E19" s="11" t="n">
        <v>30.4</v>
      </c>
      <c r="F19" s="12">
        <f>0.1666*30.4+1</f>
        <v/>
      </c>
      <c r="G19" s="13" t="inlineStr">
        <is>
          <t>+~$1 image storage overage</t>
        </is>
      </c>
    </row>
    <row r="20">
      <c r="A20" s="9" t="inlineStr">
        <is>
          <t>Azure Files (reports/logos)</t>
        </is>
      </c>
      <c r="B20" s="9" t="inlineStr">
        <is>
          <t>~30 GB LRS</t>
        </is>
      </c>
      <c r="C20" s="10" t="n">
        <v>0.06</v>
      </c>
      <c r="D20" s="9" t="inlineStr">
        <is>
          <t>per GB/month</t>
        </is>
      </c>
      <c r="E20" s="11" t="n">
        <v>30</v>
      </c>
      <c r="F20" s="12">
        <f>30*0.06</f>
        <v/>
      </c>
      <c r="G20" s="13" t="inlineStr"/>
    </row>
    <row r="21">
      <c r="A21" s="9" t="inlineStr">
        <is>
          <t>Log Analytics ingestion</t>
        </is>
      </c>
      <c r="B21" s="9" t="inlineStr">
        <is>
          <t>~5 GB/month</t>
        </is>
      </c>
      <c r="C21" s="10" t="n">
        <v>2.99</v>
      </c>
      <c r="D21" s="9" t="inlineStr">
        <is>
          <t>per GB</t>
        </is>
      </c>
      <c r="E21" s="11" t="n">
        <v>5</v>
      </c>
      <c r="F21" s="12">
        <f>5*2.99</f>
        <v/>
      </c>
      <c r="G21" s="13" t="inlineStr">
        <is>
          <t>31-day retention included</t>
        </is>
      </c>
    </row>
    <row r="22">
      <c r="A22" s="9" t="inlineStr">
        <is>
          <t>Key Vault operations</t>
        </is>
      </c>
      <c r="B22" s="9" t="inlineStr"/>
      <c r="C22" s="10" t="n">
        <v>0.03</v>
      </c>
      <c r="D22" s="9" t="inlineStr">
        <is>
          <t>per 10K ops</t>
        </is>
      </c>
      <c r="E22" s="9" t="n"/>
      <c r="F22" s="12" t="n">
        <v>1</v>
      </c>
      <c r="G22" s="13" t="inlineStr">
        <is>
          <t>Rounded up</t>
        </is>
      </c>
    </row>
    <row r="23">
      <c r="A23" s="9" t="inlineStr">
        <is>
          <t>Defender for Cloud</t>
        </is>
      </c>
      <c r="B23" s="9" t="inlineStr">
        <is>
          <t>policy-dependent</t>
        </is>
      </c>
      <c r="C23" s="9" t="n"/>
      <c r="D23" s="9" t="inlineStr"/>
      <c r="E23" s="9" t="n"/>
      <c r="F23" s="12" t="n">
        <v>12</v>
      </c>
      <c r="G23" s="13" t="inlineStr">
        <is>
          <t>Set to 0 if target tenant does not enable Defender plans</t>
        </is>
      </c>
    </row>
    <row r="24">
      <c r="A24" s="9" t="inlineStr">
        <is>
          <t>Bandwidth</t>
        </is>
      </c>
      <c r="B24" s="9" t="inlineStr"/>
      <c r="C24" s="9" t="n"/>
      <c r="D24" s="9" t="inlineStr"/>
      <c r="E24" s="9" t="n"/>
      <c r="F24" s="12" t="n">
        <v>0</v>
      </c>
      <c r="G24" s="13" t="inlineStr">
        <is>
          <t>First 100 GB egress free</t>
        </is>
      </c>
    </row>
    <row r="25">
      <c r="A25" s="9" t="inlineStr">
        <is>
          <t>Jump server: VM (Windows B2ms)</t>
        </is>
      </c>
      <c r="B25" s="9" t="inlineStr">
        <is>
          <t>2 vCPU / 8 GB, Windows</t>
        </is>
      </c>
      <c r="C25" s="10" t="n">
        <v>0.114</v>
      </c>
      <c r="D25" s="9" t="inlineStr">
        <is>
          <t>per hour</t>
        </is>
      </c>
      <c r="E25" s="11">
        <f>$B$8</f>
        <v/>
      </c>
      <c r="F25" s="12">
        <f>0.114*$B$8</f>
        <v/>
      </c>
      <c r="G25" s="13" t="inlineStr">
        <is>
          <t>VS Code jump box; Windows license included. Fixed cost, not per-customer.</t>
        </is>
      </c>
    </row>
    <row r="26">
      <c r="A26" s="9" t="inlineStr">
        <is>
          <t>Jump server: OS disk</t>
        </is>
      </c>
      <c r="B26" s="9" t="inlineStr">
        <is>
          <t>128 GB Standard SSD (E10)</t>
        </is>
      </c>
      <c r="C26" s="10" t="n">
        <v>9.6</v>
      </c>
      <c r="D26" s="9" t="inlineStr">
        <is>
          <t>per month</t>
        </is>
      </c>
      <c r="E26" s="11" t="n">
        <v>1</v>
      </c>
      <c r="F26" s="12">
        <f>9.6</f>
        <v/>
      </c>
      <c r="G26" s="13" t="inlineStr">
        <is>
          <t>Premium SSD (P10) is $19.71 if a faster disk is needed</t>
        </is>
      </c>
    </row>
    <row r="27">
      <c r="A27" s="9" t="inlineStr">
        <is>
          <t>Jump server: public IP</t>
        </is>
      </c>
      <c r="B27" s="9" t="inlineStr">
        <is>
          <t>Standard, static</t>
        </is>
      </c>
      <c r="C27" s="10" t="n">
        <v>0.005</v>
      </c>
      <c r="D27" s="9" t="inlineStr">
        <is>
          <t>per hour</t>
        </is>
      </c>
      <c r="E27" s="11">
        <f>$B$8</f>
        <v/>
      </c>
      <c r="F27" s="12">
        <f>0.005*$B$8</f>
        <v/>
      </c>
      <c r="G27" s="13" t="inlineStr">
        <is>
          <t>Lock RDP/SSH to admin IPs via NSG. Azure Bastion ~$140/mo is the hardened alternative.</t>
        </is>
      </c>
    </row>
    <row r="28">
      <c r="A28" s="9" t="inlineStr">
        <is>
          <t>Private endpoints (x4)</t>
        </is>
      </c>
      <c r="B28" s="9" t="inlineStr">
        <is>
          <t>Postgres, Key Vault, Storage, ACR</t>
        </is>
      </c>
      <c r="C28" s="10" t="n">
        <v>0.01</v>
      </c>
      <c r="D28" s="9" t="inlineStr">
        <is>
          <t>per endpoint-hour</t>
        </is>
      </c>
      <c r="E28" s="11">
        <f>4*$B$8</f>
        <v/>
      </c>
      <c r="F28" s="12">
        <f>4*0.01*$B$8</f>
        <v/>
      </c>
      <c r="G28" s="13" t="inlineStr">
        <is>
          <t>Backend lockdown; + $0.01/GB data processing (usage-based, not included)</t>
        </is>
      </c>
    </row>
    <row r="29">
      <c r="A29" s="14" t="inlineStr">
        <is>
          <t>Infrastructure subtotal</t>
        </is>
      </c>
      <c r="B29" s="15" t="n"/>
      <c r="C29" s="15" t="n"/>
      <c r="D29" s="15" t="n"/>
      <c r="E29" s="15" t="n"/>
      <c r="F29" s="16">
        <f>SUM(F14:F28)</f>
        <v/>
      </c>
      <c r="G29" s="15" t="n"/>
    </row>
    <row r="31">
      <c r="A31" s="3" t="inlineStr">
        <is>
          <t>AZURE OPENAI (new resource, Global deployment token pricing)</t>
        </is>
      </c>
    </row>
    <row r="32">
      <c r="A32" s="8" t="inlineStr">
        <is>
          <t>Scenario</t>
        </is>
      </c>
      <c r="B32" s="8" t="inlineStr">
        <is>
          <t>Basis at 13 customers</t>
        </is>
      </c>
      <c r="C32" s="8" t="inlineStr"/>
      <c r="D32" s="8" t="inlineStr"/>
      <c r="E32" s="8" t="inlineStr"/>
      <c r="F32" s="8" t="inlineStr">
        <is>
          <t>Monthly (USD)</t>
        </is>
      </c>
      <c r="G32" s="8" t="inlineStr">
        <is>
          <t>Notes</t>
        </is>
      </c>
    </row>
    <row r="33">
      <c r="A33" s="9" t="inlineStr">
        <is>
          <t>A. Current usage pattern</t>
        </is>
      </c>
      <c r="B33" s="9" t="inlineStr">
        <is>
          <t>2.9M in + 0.12M out tokens ($4.83)</t>
        </is>
      </c>
      <c r="C33" s="9" t="n"/>
      <c r="D33" s="9" t="n"/>
      <c r="E33" s="9" t="n"/>
      <c r="F33" s="17">
        <f>(2.9*1.25+0.12*10+0.2*0.143)*$B$7</f>
        <v/>
      </c>
      <c r="G33" s="13" t="inlineStr">
        <is>
          <t>Measured June 2026; scales with growth factor</t>
        </is>
      </c>
    </row>
    <row r="34">
      <c r="A34" s="9" t="inlineStr">
        <is>
          <t>B. Full enrichment, GPT-5 Chat only</t>
        </is>
      </c>
      <c r="B34" s="9" t="inlineStr">
        <is>
          <t>~$290/mo (tiering doc)</t>
        </is>
      </c>
      <c r="C34" s="9" t="n"/>
      <c r="D34" s="9" t="n"/>
      <c r="E34" s="9" t="n"/>
      <c r="F34" s="17">
        <f>290*$B$7</f>
        <v/>
      </c>
      <c r="G34" s="13" t="inlineStr">
        <is>
          <t>Worst case - avoid</t>
        </is>
      </c>
    </row>
    <row r="35">
      <c r="A35" s="9" t="inlineStr">
        <is>
          <t>C. Full enrichment, tiered (recommended)</t>
        </is>
      </c>
      <c r="B35" s="9" t="inlineStr">
        <is>
          <t>~$60/mo (tiering doc)</t>
        </is>
      </c>
      <c r="C35" s="9" t="n"/>
      <c r="D35" s="9" t="n"/>
      <c r="E35" s="9" t="n"/>
      <c r="F35" s="17">
        <f>60*$B$7</f>
        <v/>
      </c>
      <c r="G35" s="13" t="inlineStr">
        <is>
          <t>GPT-5 Mini for enrichment, GPT-5 Chat for verdicts</t>
        </is>
      </c>
    </row>
    <row r="37">
      <c r="A37" s="3" t="inlineStr">
        <is>
          <t>TOTALS</t>
        </is>
      </c>
    </row>
    <row r="38">
      <c r="A38" s="18" t="inlineStr">
        <is>
          <t>Infrastructure + LLM scenario A (light)</t>
        </is>
      </c>
      <c r="B38" s="15" t="n"/>
      <c r="C38" s="15" t="n"/>
      <c r="D38" s="15" t="n"/>
      <c r="E38" s="15" t="n"/>
      <c r="F38" s="16">
        <f>F29+F33</f>
        <v/>
      </c>
      <c r="G38" s="15" t="n"/>
    </row>
    <row r="39">
      <c r="A39" s="14" t="inlineStr">
        <is>
          <t>Infrastructure + LLM scenario C (tiered) - PLANNING NUMBER</t>
        </is>
      </c>
      <c r="B39" s="15" t="n"/>
      <c r="C39" s="15" t="n"/>
      <c r="D39" s="15" t="n"/>
      <c r="E39" s="15" t="n"/>
      <c r="F39" s="16">
        <f>F29+F35</f>
        <v/>
      </c>
      <c r="G39" s="15" t="n"/>
    </row>
    <row r="40">
      <c r="A40" s="18" t="inlineStr">
        <is>
          <t>Infrastructure + LLM scenario B (untiered worst case)</t>
        </is>
      </c>
      <c r="B40" s="15" t="n"/>
      <c r="C40" s="15" t="n"/>
      <c r="D40" s="15" t="n"/>
      <c r="E40" s="15" t="n"/>
      <c r="F40" s="16">
        <f>F29+F34</f>
        <v/>
      </c>
      <c r="G40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Unit rates - Southeast Asia PAYG retail, fetched 2026-07-15</t>
        </is>
      </c>
    </row>
    <row r="2">
      <c r="A2" s="2" t="inlineStr">
        <is>
          <t>Source: https://prices.azure.com/api/retail/prices (no-auth public API). Token prices via tools/azure_pricing.py (Global deployment tier).</t>
        </is>
      </c>
    </row>
    <row r="4">
      <c r="A4" s="19" t="inlineStr">
        <is>
          <t>Azure Container Apps</t>
        </is>
      </c>
    </row>
    <row r="5">
      <c r="A5" t="inlineStr">
        <is>
          <t xml:space="preserve">  vCPU active</t>
        </is>
      </c>
      <c r="B5" s="20" t="n">
        <v>3.4e-05</v>
      </c>
      <c r="C5" t="inlineStr">
        <is>
          <t>per vCPU-second</t>
        </is>
      </c>
    </row>
    <row r="6">
      <c r="A6" t="inlineStr">
        <is>
          <t xml:space="preserve">  vCPU idle</t>
        </is>
      </c>
      <c r="B6" s="20" t="n">
        <v>4e-06</v>
      </c>
      <c r="C6" t="inlineStr">
        <is>
          <t>per vCPU-second</t>
        </is>
      </c>
    </row>
    <row r="7">
      <c r="A7" t="inlineStr">
        <is>
          <t xml:space="preserve">  Memory</t>
        </is>
      </c>
      <c r="B7" s="20" t="n">
        <v>4e-06</v>
      </c>
      <c r="C7" t="inlineStr">
        <is>
          <t>per GiB-second</t>
        </is>
      </c>
    </row>
    <row r="8">
      <c r="A8" t="inlineStr">
        <is>
          <t xml:space="preserve">  Requests</t>
        </is>
      </c>
      <c r="B8" s="20" t="n">
        <v>0.4</v>
      </c>
      <c r="C8" t="inlineStr">
        <is>
          <t>per 1M requests</t>
        </is>
      </c>
    </row>
    <row r="9">
      <c r="A9" s="19" t="inlineStr">
        <is>
          <t>PostgreSQL Flexible Server</t>
        </is>
      </c>
    </row>
    <row r="10">
      <c r="A10" t="inlineStr">
        <is>
          <t xml:space="preserve">  B1ms (current prod)</t>
        </is>
      </c>
      <c r="B10" s="20" t="n">
        <v>0.026</v>
      </c>
      <c r="C10" t="inlineStr">
        <is>
          <t>per hour = $18.98/mo</t>
        </is>
      </c>
    </row>
    <row r="11">
      <c r="A11" t="inlineStr">
        <is>
          <t xml:space="preserve">  B2s</t>
        </is>
      </c>
      <c r="B11" s="20" t="n">
        <v>0.104</v>
      </c>
      <c r="C11" t="inlineStr">
        <is>
          <t>per hour = $75.92/mo</t>
        </is>
      </c>
    </row>
    <row r="12">
      <c r="A12" t="inlineStr">
        <is>
          <t xml:space="preserve">  B2ms</t>
        </is>
      </c>
      <c r="B12" s="20" t="n">
        <v>0.208</v>
      </c>
      <c r="C12" t="inlineStr">
        <is>
          <t>per hour = $151.84/mo</t>
        </is>
      </c>
    </row>
    <row r="13">
      <c r="A13" t="inlineStr">
        <is>
          <t xml:space="preserve">  D2ds_v4 (general purpose, 2 vCore)</t>
        </is>
      </c>
      <c r="B13" s="20" t="n">
        <v>0.244</v>
      </c>
      <c r="C13" t="inlineStr">
        <is>
          <t>per hour = $178.12/mo</t>
        </is>
      </c>
    </row>
    <row r="14">
      <c r="A14" t="inlineStr">
        <is>
          <t xml:space="preserve">  Storage</t>
        </is>
      </c>
      <c r="B14" s="20" t="n">
        <v>0.138</v>
      </c>
      <c r="C14" t="inlineStr">
        <is>
          <t>per GB/month</t>
        </is>
      </c>
    </row>
    <row r="15">
      <c r="A15" t="inlineStr">
        <is>
          <t xml:space="preserve">  Backup (LRS, beyond free)</t>
        </is>
      </c>
      <c r="B15" s="20" t="n">
        <v>0.095</v>
      </c>
      <c r="C15" t="inlineStr">
        <is>
          <t>per GB/month</t>
        </is>
      </c>
    </row>
    <row r="16">
      <c r="A16" s="19" t="inlineStr">
        <is>
          <t>Container Registry Basic</t>
        </is>
      </c>
      <c r="B16" s="20" t="n">
        <v>0.1666</v>
      </c>
      <c r="C16" t="inlineStr">
        <is>
          <t>per day</t>
        </is>
      </c>
    </row>
    <row r="17">
      <c r="A17" s="19" t="inlineStr">
        <is>
          <t>Azure Files LRS</t>
        </is>
      </c>
      <c r="B17" s="20" t="n">
        <v>0.06</v>
      </c>
      <c r="C17" t="inlineStr">
        <is>
          <t>per GB/month</t>
        </is>
      </c>
    </row>
    <row r="18">
      <c r="A18" s="19" t="inlineStr">
        <is>
          <t>Log Analytics ingestion</t>
        </is>
      </c>
      <c r="B18" s="20" t="n">
        <v>2.99</v>
      </c>
      <c r="C18" t="inlineStr">
        <is>
          <t>per GB</t>
        </is>
      </c>
    </row>
    <row r="19">
      <c r="A19" s="19" t="inlineStr">
        <is>
          <t>Log Analytics retention (after 31d)</t>
        </is>
      </c>
      <c r="B19" s="20" t="n">
        <v>0.13</v>
      </c>
      <c r="C19" t="inlineStr">
        <is>
          <t>per GB/month</t>
        </is>
      </c>
    </row>
    <row r="20">
      <c r="A20" s="19" t="inlineStr">
        <is>
          <t>Key Vault operations</t>
        </is>
      </c>
      <c r="B20" s="20" t="n">
        <v>0.03</v>
      </c>
      <c r="C20" t="inlineStr">
        <is>
          <t>per 10K</t>
        </is>
      </c>
    </row>
    <row r="21">
      <c r="A21" s="19" t="inlineStr">
        <is>
          <t>Azure OpenAI tokens</t>
        </is>
      </c>
    </row>
    <row r="22">
      <c r="A22" t="inlineStr">
        <is>
          <t xml:space="preserve">  GPT-5 Chat input</t>
        </is>
      </c>
      <c r="B22" s="20" t="n">
        <v>1.25</v>
      </c>
      <c r="C22" t="inlineStr">
        <is>
          <t>per 1M tokens</t>
        </is>
      </c>
    </row>
    <row r="23">
      <c r="A23" t="inlineStr">
        <is>
          <t xml:space="preserve">  GPT-5 Chat output</t>
        </is>
      </c>
      <c r="B23" s="20" t="n">
        <v>10</v>
      </c>
      <c r="C23" t="inlineStr">
        <is>
          <t>per 1M tokens</t>
        </is>
      </c>
    </row>
    <row r="24">
      <c r="A24" t="inlineStr">
        <is>
          <t xml:space="preserve">  GPT-5 Mini input</t>
        </is>
      </c>
      <c r="B24" s="20" t="n">
        <v>0.25</v>
      </c>
      <c r="C24" t="inlineStr">
        <is>
          <t>per 1M tokens</t>
        </is>
      </c>
    </row>
    <row r="25">
      <c r="A25" t="inlineStr">
        <is>
          <t xml:space="preserve">  GPT-5 Mini output</t>
        </is>
      </c>
      <c r="B25" s="20" t="n">
        <v>2</v>
      </c>
      <c r="C25" t="inlineStr">
        <is>
          <t>per 1M tokens</t>
        </is>
      </c>
    </row>
    <row r="26">
      <c r="A26" t="inlineStr">
        <is>
          <t xml:space="preserve">  text-embedding-3-large</t>
        </is>
      </c>
      <c r="B26" s="20" t="n">
        <v>0.143</v>
      </c>
      <c r="C26" t="inlineStr">
        <is>
          <t>per 1M tokens</t>
        </is>
      </c>
    </row>
    <row r="28">
      <c r="A28" t="inlineStr">
        <is>
          <t>Jump server + private networking</t>
        </is>
      </c>
    </row>
    <row r="29">
      <c r="A29" t="inlineStr">
        <is>
          <t xml:space="preserve">  VM B2ms Windows (2 vCPU/8 GB)</t>
        </is>
      </c>
      <c r="B29" t="n">
        <v>0.114</v>
      </c>
      <c r="C29" t="inlineStr">
        <is>
          <t>per hour = $83.22/mo (Linux $0.106 = $77.38)</t>
        </is>
      </c>
    </row>
    <row r="30">
      <c r="A30" t="inlineStr">
        <is>
          <t xml:space="preserve">  OS disk Standard SSD E10 (128 GB)</t>
        </is>
      </c>
      <c r="B30" t="n">
        <v>9.6</v>
      </c>
      <c r="C30" t="inlineStr">
        <is>
          <t>per month (Premium P10 = $19.71)</t>
        </is>
      </c>
    </row>
    <row r="31">
      <c r="A31" t="inlineStr">
        <is>
          <t xml:space="preserve">  Public IP Standard static</t>
        </is>
      </c>
      <c r="B31" t="n">
        <v>0.005</v>
      </c>
      <c r="C31" t="inlineStr">
        <is>
          <t>per hour = $3.65/mo</t>
        </is>
      </c>
    </row>
    <row r="32">
      <c r="A32" t="inlineStr">
        <is>
          <t xml:space="preserve">  Private endpoint</t>
        </is>
      </c>
      <c r="B32" t="n">
        <v>0.01</v>
      </c>
      <c r="C32" t="inlineStr">
        <is>
          <t>per endpoint-hour = $7.30/mo</t>
        </is>
      </c>
    </row>
    <row r="33">
      <c r="A33" t="inlineStr">
        <is>
          <t xml:space="preserve">  Private endpoint data processing</t>
        </is>
      </c>
      <c r="B33" t="n">
        <v>0.01</v>
      </c>
      <c r="C33" t="inlineStr">
        <is>
          <t>per GB, each direction (usage-based)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1" t="inlineStr">
        <is>
          <t>ASSUMPTIONS AND CAVEATS</t>
        </is>
      </c>
    </row>
    <row r="2">
      <c r="A2" s="22" t="inlineStr"/>
    </row>
    <row r="3">
      <c r="A3" s="22" t="inlineStr">
        <is>
          <t>1. All rates are Southeast Asia pay-as-you-go retail (USD), fetched 2026-07-15. CSP/EA agreements in the target tenant would reduce these.</t>
        </is>
      </c>
    </row>
    <row r="4">
      <c r="A4" s="22" t="inlineStr">
        <is>
          <t>2. Current actual spend (June 2026, rg-soc-platform): $56.65/month total. Current bill runs below retail on some lines (e.g. Postgres B1ms billed $11.54 vs $18.98 retail), so do not expect the new tenant to match the old bill line-for-line.</t>
        </is>
      </c>
    </row>
    <row r="5">
      <c r="A5" s="22" t="inlineStr">
        <is>
          <t>3. Azure OpenAI baseline ($4.83/mo, 341 calls, 2.9M input / 0.12M output tokens) measured in docs/COST-OPTIMIZATION-model-tiering.md. Full-enrichment figures ($290 untiered / $60 tiered) come from the same doc. All LLM scenarios scale linearly with the growth factor.</t>
        </is>
      </c>
    </row>
    <row r="6">
      <c r="A6" s="22" t="inlineStr">
        <is>
          <t>4. PENDING CALIBRATION: actual socaiagent (Azure OpenAI) spend from the portal Cost Analysis - replace scenario A once known.</t>
        </is>
      </c>
    </row>
    <row r="7">
      <c r="A7" s="22" t="inlineStr">
        <is>
          <t>5. Sized for production only; old tenant stack retires after cutover. Budget ~1 month of parallel-run overlap (~$60-100 one-time).</t>
        </is>
      </c>
    </row>
    <row r="8">
      <c r="A8" s="22" t="inlineStr">
        <is>
          <t>6. Architecture constraint: gunicorn runs 1 worker because APScheduler is in-process - horizontal scaling duplicates scheduled reports. At 100+ customers, scale vertically or move schedules to Container Apps Jobs before relying on maxReplicas &gt; 1.</t>
        </is>
      </c>
    </row>
    <row r="9">
      <c r="A9" s="22" t="inlineStr">
        <is>
          <t>7. Critical path: Azure OpenAI quota approval in the new tenant can take days. Request gpt-5.3-chat (GPT-5 Chat) + text-embedding-3-large quota first.</t>
        </is>
      </c>
    </row>
    <row r="10">
      <c r="A10" s="22" t="inlineStr">
        <is>
          <t>8. Defender for Cloud is a tenant policy choice: $0 if plans are not enabled; ~$12/mo estimated if mirroring current plans.</t>
        </is>
      </c>
    </row>
    <row r="11">
      <c r="A11" s="22" t="inlineStr">
        <is>
          <t>9. Names that must change (globally unique): container registry, key vault, storage account, Postgres server. See docs/DUPLICATE-TO-NEW-SUBSCRIPTION.md.</t>
        </is>
      </c>
    </row>
    <row r="12">
      <c r="A12" t="inlineStr">
        <is>
          <t>10. Jump server: Windows B2ms (2 vCPU/8 GB) with VS Code, 128 GB Standard SSD, Standard static public IP. Lock RDP to admin IPs via NSG; Azure Bastion (~$140/mo) is the hardened alternative. Fixed cost - does NOT scale with customer count.</t>
        </is>
      </c>
    </row>
    <row r="13">
      <c r="A13" t="inlineStr">
        <is>
          <t>11. Private endpoints: 4 (PostgreSQL, Key Vault, Storage, Container Registry) at $0.01/endpoint-hour (~$7.30/mo each) to remove public access to the backend, reached via the jump server. Data processing is $0.01/GB each direction (usage-based, not included). Requires a VNet (no charge) with subnets for the endpoints and the jump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2026-07-15T06:46:02Z</dcterms:created>
  <dcterms:modified xmlns:dcterms="http://purl.org/dc/terms/" xmlns:xsi="http://www.w3.org/2001/XMLSchema-instance" xsi:type="dcterms:W3CDTF">2026-07-15T10:29:24Z</dcterms:modified>
</cp:coreProperties>
</file>